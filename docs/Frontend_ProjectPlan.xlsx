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ach giao dien" sheetId="1" state="visible" r:id="rId1"/>
    <sheet name="Ke hoach Sprint" sheetId="2" state="visible" r:id="rId2"/>
    <sheet name="Tien do tong h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E3A5F"/>
      <sz val="10"/>
    </font>
    <font>
      <name val="Arial"/>
      <b val="1"/>
      <color rgb="00DC2626"/>
      <sz val="10"/>
    </font>
    <font>
      <name val="Arial"/>
      <b val="1"/>
      <color rgb="0016A34A"/>
      <sz val="10"/>
    </font>
    <font>
      <name val="Arial"/>
      <color rgb="006B7280"/>
      <sz val="9"/>
    </font>
    <font>
      <name val="Arial"/>
      <b val="1"/>
      <color rgb="00CA8A04"/>
      <sz val="10"/>
    </font>
    <font>
      <name val="Arial"/>
      <b val="1"/>
      <color rgb="00EA580C"/>
      <sz val="10"/>
    </font>
    <font>
      <name val="Arial"/>
      <b val="1"/>
      <color rgb="006B7280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color rgb="001A5276"/>
      <sz val="10"/>
    </font>
    <font>
      <name val="Arial"/>
      <b val="1"/>
      <color rgb="000D4F3C"/>
      <sz val="10"/>
    </font>
    <font>
      <name val="Arial"/>
      <b val="1"/>
      <color rgb="004A235A"/>
      <sz val="10"/>
    </font>
    <font>
      <name val="Arial"/>
      <color rgb="006B7280"/>
      <sz val="10"/>
    </font>
    <font>
      <name val="Arial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1F4E79"/>
      </patternFill>
    </fill>
    <fill>
      <patternFill patternType="solid">
        <fgColor rgb="00F8FAFC"/>
      </patternFill>
    </fill>
    <fill>
      <patternFill patternType="solid">
        <fgColor rgb="001A5276"/>
      </patternFill>
    </fill>
    <fill>
      <patternFill patternType="solid">
        <fgColor rgb="000D4F3C"/>
      </patternFill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3" fillId="10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9" fontId="8" fillId="5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9" fontId="10" fillId="7" borderId="1" applyAlignment="1" pivotButton="0" quotePrefix="0" xfId="0">
      <alignment horizontal="center" vertical="center" wrapText="1"/>
    </xf>
    <xf numFmtId="9" fontId="18" fillId="6" borderId="1" applyAlignment="1" pivotButton="0" quotePrefix="0" xfId="0">
      <alignment horizontal="center" vertical="center" wrapText="1"/>
    </xf>
    <xf numFmtId="9" fontId="18" fillId="11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9" fontId="3" fillId="9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2" customWidth="1" min="3" max="3"/>
    <col width="22" customWidth="1" min="4" max="4"/>
    <col width="12" customWidth="1" min="5" max="5"/>
    <col width="16" customWidth="1" min="6" max="6"/>
    <col width="28" customWidth="1" min="7" max="7"/>
  </cols>
  <sheetData>
    <row r="1" ht="36" customHeight="1">
      <c r="A1" s="1" t="inlineStr">
        <is>
          <t>2. SO LUONG GIAO DIEN THIET KE - DESIGN LAYOUT LIST</t>
        </is>
      </c>
    </row>
    <row r="2">
      <c r="A2" s="2" t="inlineStr">
        <is>
          <t>Du an: HR Manager System  |  Frontend: React + Vite + TailwindCSS  |  Ngay lap: 05/06/2026</t>
        </is>
      </c>
    </row>
    <row r="3" ht="28" customHeight="1">
      <c r="A3" s="3" t="inlineStr">
        <is>
          <t>STT</t>
        </is>
      </c>
      <c r="B3" s="3" t="inlineStr">
        <is>
          <t>Giao dien - Layout</t>
        </is>
      </c>
      <c r="C3" s="3" t="inlineStr">
        <is>
          <t>Mo ta chi tiet</t>
        </is>
      </c>
      <c r="D3" s="3" t="inlineStr">
        <is>
          <t>So trang / Component</t>
        </is>
      </c>
      <c r="E3" s="3" t="inlineStr">
        <is>
          <t>Uu tien</t>
        </is>
      </c>
      <c r="F3" s="3" t="inlineStr">
        <is>
          <t>Trang thai</t>
        </is>
      </c>
      <c r="G3" s="3" t="inlineStr">
        <is>
          <t>Ghi chu</t>
        </is>
      </c>
    </row>
    <row r="4" ht="52" customHeight="1">
      <c r="A4" s="4" t="n">
        <v>1</v>
      </c>
      <c r="B4" s="5" t="inlineStr">
        <is>
          <t>Trang LOGIN</t>
        </is>
      </c>
      <c r="C4" s="6" t="inlineStr">
        <is>
          <t>Form dang nhap: email + password, hieu ung glassmorphism, gradient xanh.
Validation phia client, hien thi loi, remember me, loading state.</t>
        </is>
      </c>
      <c r="D4" s="7" t="inlineStr">
        <is>
          <t>1 trang</t>
        </is>
      </c>
      <c r="E4" s="8" t="inlineStr">
        <is>
          <t>Cao</t>
        </is>
      </c>
      <c r="F4" s="9" t="inlineStr">
        <is>
          <t>Hoàn thành</t>
        </is>
      </c>
      <c r="G4" s="10" t="inlineStr">
        <is>
          <t>Role-based redirect sau login</t>
        </is>
      </c>
    </row>
    <row r="5" ht="22" customHeight="1">
      <c r="A5" s="11" t="inlineStr">
        <is>
          <t>── NHOM ADMIN / MANAGER ──</t>
        </is>
      </c>
    </row>
    <row r="6" ht="52" customHeight="1">
      <c r="A6" s="12" t="n">
        <v>2</v>
      </c>
      <c r="B6" s="13" t="inlineStr">
        <is>
          <t>Trang DASHBOARD (Tong quan)</t>
        </is>
      </c>
      <c r="C6" s="14" t="inlineStr">
        <is>
          <t>4 card KPI: Tong nhan vien, Cham cong hom nay, Nghi phep thang, Luong thang.
Bieu do cham cong 7 ngay, danh sach nhan vien moi nhat.</t>
        </is>
      </c>
      <c r="D6" s="15" t="inlineStr">
        <is>
          <t>1 trang</t>
        </is>
      </c>
      <c r="E6" s="16" t="inlineStr">
        <is>
          <t>Cao</t>
        </is>
      </c>
      <c r="F6" s="17" t="inlineStr">
        <is>
          <t>Đang làm</t>
        </is>
      </c>
      <c r="G6" s="18" t="inlineStr">
        <is>
          <t>Du lieu real-time tu API</t>
        </is>
      </c>
    </row>
    <row r="7" ht="52" customHeight="1">
      <c r="A7" s="4" t="n">
        <v>3</v>
      </c>
      <c r="B7" s="5" t="inlineStr">
        <is>
          <t>Trang NHAN VIEN</t>
        </is>
      </c>
      <c r="C7" s="6" t="inlineStr">
        <is>
          <t>Danh sach nhan vien: filter theo phong ban/chuc vu, tim kiem, phan trang.
Form them/sua: thong tin ca nhan, phong ban, chuc vu, luong co ban.
Xem chi tiet, export Excel.</t>
        </is>
      </c>
      <c r="D7" s="7" t="inlineStr">
        <is>
          <t>2 trang</t>
        </is>
      </c>
      <c r="E7" s="8" t="inlineStr">
        <is>
          <t>Cao</t>
        </is>
      </c>
      <c r="F7" s="17" t="inlineStr">
        <is>
          <t>Đang làm</t>
        </is>
      </c>
      <c r="G7" s="10" t="inlineStr">
        <is>
          <t>CRUD day du</t>
        </is>
      </c>
    </row>
    <row r="8" ht="52" customHeight="1">
      <c r="A8" s="12" t="n">
        <v>4</v>
      </c>
      <c r="B8" s="13" t="inlineStr">
        <is>
          <t>Trang PHONG BAN</t>
        </is>
      </c>
      <c r="C8" s="14" t="inlineStr">
        <is>
          <t>Danh sach phong ban, so nhan vien moi phong.
Them/sua/xoa phong ban. Xem danh sach nhan vien trong phong.</t>
        </is>
      </c>
      <c r="D8" s="15" t="inlineStr">
        <is>
          <t>1 trang</t>
        </is>
      </c>
      <c r="E8" s="16" t="inlineStr">
        <is>
          <t>Cao</t>
        </is>
      </c>
      <c r="F8" s="19" t="inlineStr">
        <is>
          <t>Chưa làm</t>
        </is>
      </c>
      <c r="G8" s="18" t="inlineStr"/>
    </row>
    <row r="9" ht="52" customHeight="1">
      <c r="A9" s="4" t="n">
        <v>5</v>
      </c>
      <c r="B9" s="5" t="inlineStr">
        <is>
          <t>Trang CA LAM VIEC</t>
        </is>
      </c>
      <c r="C9" s="6" t="inlineStr">
        <is>
          <t>Quan ly ca: ten ca, gio vao, gio ra, ngay ap dung.
Gan ca cho nhan vien/nhom. Lich ca theo tuan.</t>
        </is>
      </c>
      <c r="D9" s="7" t="inlineStr">
        <is>
          <t>1 trang</t>
        </is>
      </c>
      <c r="E9" s="20" t="inlineStr">
        <is>
          <t>Trung binh</t>
        </is>
      </c>
      <c r="F9" s="19" t="inlineStr">
        <is>
          <t>Chưa làm</t>
        </is>
      </c>
      <c r="G9" s="10" t="inlineStr"/>
    </row>
    <row r="10" ht="22" customHeight="1">
      <c r="A10" s="11" t="inlineStr">
        <is>
          <t>── NHOM CHAM CONG ──</t>
        </is>
      </c>
    </row>
    <row r="11" ht="52" customHeight="1">
      <c r="A11" s="12" t="n">
        <v>6</v>
      </c>
      <c r="B11" s="13" t="inlineStr">
        <is>
          <t>Trang CHAM CONG</t>
        </is>
      </c>
      <c r="C11" s="14" t="inlineStr">
        <is>
          <t>Bang cham cong theo thang (calendar view).
Filter theo nhan vien/phong ban. Chinh sua thu cong, xuat bao cao.</t>
        </is>
      </c>
      <c r="D11" s="15" t="inlineStr">
        <is>
          <t>1 trang</t>
        </is>
      </c>
      <c r="E11" s="16" t="inlineStr">
        <is>
          <t>Cao</t>
        </is>
      </c>
      <c r="F11" s="19" t="inlineStr">
        <is>
          <t>Chưa làm</t>
        </is>
      </c>
      <c r="G11" s="18" t="inlineStr"/>
    </row>
    <row r="12" ht="52" customHeight="1">
      <c r="A12" s="4" t="n">
        <v>7</v>
      </c>
      <c r="B12" s="5" t="inlineStr">
        <is>
          <t>Trang TANG CA</t>
        </is>
      </c>
      <c r="C12" s="6" t="inlineStr">
        <is>
          <t>Danh sach dang ky tang ca, duyet/tu choi.
Filter theo thang, phong ban. Tong gio tang ca.</t>
        </is>
      </c>
      <c r="D12" s="7" t="inlineStr">
        <is>
          <t>1 trang</t>
        </is>
      </c>
      <c r="E12" s="20" t="inlineStr">
        <is>
          <t>Trung binh</t>
        </is>
      </c>
      <c r="F12" s="19" t="inlineStr">
        <is>
          <t>Chưa làm</t>
        </is>
      </c>
      <c r="G12" s="10" t="inlineStr"/>
    </row>
    <row r="13" ht="52" customHeight="1">
      <c r="A13" s="12" t="n">
        <v>8</v>
      </c>
      <c r="B13" s="13" t="inlineStr">
        <is>
          <t>Trang NGHI PHEP</t>
        </is>
      </c>
      <c r="C13" s="14" t="inlineStr">
        <is>
          <t>Danh sach yeu cau nghi phep: Nghi viec, Thai san, Nghi om.
Workflow: Dang ky - Duyet - Xac nhan.
So ngay con lai theo tung loai.</t>
        </is>
      </c>
      <c r="D13" s="15" t="inlineStr">
        <is>
          <t>1 trang</t>
        </is>
      </c>
      <c r="E13" s="16" t="inlineStr">
        <is>
          <t>Cao</t>
        </is>
      </c>
      <c r="F13" s="19" t="inlineStr">
        <is>
          <t>Chưa làm</t>
        </is>
      </c>
      <c r="G13" s="18" t="inlineStr">
        <is>
          <t>Sub-menu: Nghi viec, Thai san</t>
        </is>
      </c>
    </row>
    <row r="14" ht="52" customHeight="1">
      <c r="A14" s="4" t="n">
        <v>9</v>
      </c>
      <c r="B14" s="5" t="inlineStr">
        <is>
          <t>Trang NGAY LE</t>
        </is>
      </c>
      <c r="C14" s="6" t="inlineStr">
        <is>
          <t>Danh sach ngay le trong nam. Them/sua/xoa ngay le.
Hien thi tren lich cham cong.</t>
        </is>
      </c>
      <c r="D14" s="7" t="inlineStr">
        <is>
          <t>1 trang</t>
        </is>
      </c>
      <c r="E14" s="21" t="inlineStr">
        <is>
          <t>Thap</t>
        </is>
      </c>
      <c r="F14" s="19" t="inlineStr">
        <is>
          <t>Chưa làm</t>
        </is>
      </c>
      <c r="G14" s="10" t="inlineStr"/>
    </row>
    <row r="15" ht="22" customHeight="1">
      <c r="A15" s="11" t="inlineStr">
        <is>
          <t>── NHOM TAI CHINH ──</t>
        </is>
      </c>
    </row>
    <row r="16" ht="52" customHeight="1">
      <c r="A16" s="12" t="n">
        <v>10</v>
      </c>
      <c r="B16" s="13" t="inlineStr">
        <is>
          <t>Trang BANG LUONG</t>
        </is>
      </c>
      <c r="C16" s="14" t="inlineStr">
        <is>
          <t>Tinh luong tu dong tu cham cong + tang ca + nghi phep.
Bang luong theo thang, chi tiet tung nhan vien.
Xuat phieu luong PDF, export Excel.</t>
        </is>
      </c>
      <c r="D16" s="15" t="inlineStr">
        <is>
          <t>2 trang</t>
        </is>
      </c>
      <c r="E16" s="16" t="inlineStr">
        <is>
          <t>Cao</t>
        </is>
      </c>
      <c r="F16" s="19" t="inlineStr">
        <is>
          <t>Chưa làm</t>
        </is>
      </c>
      <c r="G16" s="18" t="inlineStr"/>
    </row>
    <row r="17" ht="22" customHeight="1">
      <c r="A17" s="11" t="inlineStr">
        <is>
          <t>── NHOM HE THONG ──</t>
        </is>
      </c>
    </row>
    <row r="18" ht="52" customHeight="1">
      <c r="A18" s="4" t="n">
        <v>11</v>
      </c>
      <c r="B18" s="5" t="inlineStr">
        <is>
          <t>Trang TAI KHOAN</t>
        </is>
      </c>
      <c r="C18" s="6" t="inlineStr">
        <is>
          <t>Quan ly tai khoan nguoi dung: admin, manager, employee.
Phan quyen, dat lai mat khau, kich hoat/vo hieu hoa.</t>
        </is>
      </c>
      <c r="D18" s="7" t="inlineStr">
        <is>
          <t>1 trang</t>
        </is>
      </c>
      <c r="E18" s="20" t="inlineStr">
        <is>
          <t>Trung binh</t>
        </is>
      </c>
      <c r="F18" s="19" t="inlineStr">
        <is>
          <t>Chưa làm</t>
        </is>
      </c>
      <c r="G18" s="10" t="inlineStr"/>
    </row>
    <row r="19" ht="52" customHeight="1">
      <c r="A19" s="12" t="n">
        <v>12</v>
      </c>
      <c r="B19" s="13" t="inlineStr">
        <is>
          <t>Trang NHAT KY HE THONG</t>
        </is>
      </c>
      <c r="C19" s="14" t="inlineStr">
        <is>
          <t>Audit log: ai lam gi, luc nao, IP nao.
Filter theo nguoi dung, hanh dong, ngay.</t>
        </is>
      </c>
      <c r="D19" s="15" t="inlineStr">
        <is>
          <t>1 trang</t>
        </is>
      </c>
      <c r="E19" s="22" t="inlineStr">
        <is>
          <t>Thap</t>
        </is>
      </c>
      <c r="F19" s="19" t="inlineStr">
        <is>
          <t>Chưa làm</t>
        </is>
      </c>
      <c r="G19" s="18" t="inlineStr"/>
    </row>
    <row r="20" ht="22" customHeight="1">
      <c r="A20" s="11" t="inlineStr">
        <is>
          <t>── NHOM EMPLOYEE ──</t>
        </is>
      </c>
    </row>
    <row r="21" ht="52" customHeight="1">
      <c r="A21" s="4" t="n">
        <v>13</v>
      </c>
      <c r="B21" s="5" t="inlineStr">
        <is>
          <t>Trang HOME (Employee)</t>
        </is>
      </c>
      <c r="C21" s="6" t="inlineStr">
        <is>
          <t>Xem thong tin ca nhan, bang cong thang hien tai.
Dang ky nghi phep, xem lich su, xem phieu luong.</t>
        </is>
      </c>
      <c r="D21" s="7" t="inlineStr">
        <is>
          <t>1 trang</t>
        </is>
      </c>
      <c r="E21" s="8" t="inlineStr">
        <is>
          <t>Cao</t>
        </is>
      </c>
      <c r="F21" s="17" t="inlineStr">
        <is>
          <t>Đang làm</t>
        </is>
      </c>
      <c r="G21" s="10" t="inlineStr">
        <is>
          <t>Role: employee</t>
        </is>
      </c>
    </row>
    <row r="22">
      <c r="A22" s="3" t="inlineStr">
        <is>
          <t>TONG SO GIAO DIEN</t>
        </is>
      </c>
      <c r="D22" s="23">
        <f>COUNTA(D4:D21)</f>
        <v/>
      </c>
      <c r="E22" s="24" t="n"/>
      <c r="F22" s="24" t="n"/>
      <c r="G22" s="24" t="n"/>
    </row>
  </sheetData>
  <mergeCells count="8">
    <mergeCell ref="A1:G1"/>
    <mergeCell ref="A17:G17"/>
    <mergeCell ref="A22:C22"/>
    <mergeCell ref="A20:G20"/>
    <mergeCell ref="A2:G2"/>
    <mergeCell ref="A15:G15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46" customWidth="1" min="4" max="4"/>
    <col width="26" customWidth="1" min="5" max="5"/>
    <col width="12" customWidth="1" min="6" max="6"/>
    <col width="14" customWidth="1" min="7" max="7"/>
    <col width="20" customWidth="1" min="8" max="8"/>
  </cols>
  <sheetData>
    <row r="1" ht="36" customHeight="1">
      <c r="A1" s="1" t="inlineStr">
        <is>
          <t>KE HOACH TRIEN KHAI FRONTEND - SPRINT PLAN</t>
        </is>
      </c>
    </row>
    <row r="2">
      <c r="A2" s="2" t="inlineStr">
        <is>
          <t>Tong thoi gian: 8 tuan  |  4 Sprint x 2 tuan  |  Bat dau: 09/06/2026  |  Ket thuc: 31/07/2026</t>
        </is>
      </c>
    </row>
    <row r="3" ht="28" customHeight="1">
      <c r="A3" s="3" t="inlineStr">
        <is>
          <t>Sprint</t>
        </is>
      </c>
      <c r="B3" s="3" t="inlineStr">
        <is>
          <t>Tuan</t>
        </is>
      </c>
      <c r="C3" s="3" t="inlineStr">
        <is>
          <t>Giao dien / Module</t>
        </is>
      </c>
      <c r="D3" s="3" t="inlineStr">
        <is>
          <t>Tinh nang chinh</t>
        </is>
      </c>
      <c r="E3" s="3" t="inlineStr">
        <is>
          <t>Tech stack</t>
        </is>
      </c>
      <c r="F3" s="3" t="inlineStr">
        <is>
          <t>Uu tien</t>
        </is>
      </c>
      <c r="G3" s="3" t="inlineStr">
        <is>
          <t>Trang thai</t>
        </is>
      </c>
      <c r="H3" s="3" t="inlineStr">
        <is>
          <t>Ghi chu</t>
        </is>
      </c>
    </row>
    <row r="4" ht="22" customHeight="1">
      <c r="A4" s="25" t="inlineStr">
        <is>
          <t>Sprint 1</t>
        </is>
      </c>
    </row>
    <row r="5" ht="38" customHeight="1">
      <c r="A5" s="26" t="inlineStr">
        <is>
          <t>Sprint 1</t>
        </is>
      </c>
      <c r="B5" s="15" t="inlineStr">
        <is>
          <t>Tuan 1</t>
        </is>
      </c>
      <c r="C5" s="27" t="inlineStr">
        <is>
          <t>Cau truc du an</t>
        </is>
      </c>
      <c r="D5" s="27" t="inlineStr">
        <is>
          <t>Vite+React+TailwindCSS setup, routing, axios, env config</t>
        </is>
      </c>
      <c r="E5" s="27" t="inlineStr">
        <is>
          <t>Vite, React Router, Axios</t>
        </is>
      </c>
      <c r="F5" s="16" t="inlineStr">
        <is>
          <t>Cao</t>
        </is>
      </c>
      <c r="G5" s="9" t="inlineStr">
        <is>
          <t>Hoàn thành</t>
        </is>
      </c>
      <c r="H5" s="27" t="inlineStr"/>
    </row>
    <row r="6" ht="38" customHeight="1">
      <c r="A6" s="26" t="inlineStr">
        <is>
          <t>Sprint 1</t>
        </is>
      </c>
      <c r="B6" s="15" t="inlineStr">
        <is>
          <t>Tuan 1</t>
        </is>
      </c>
      <c r="C6" s="27" t="inlineStr">
        <is>
          <t>Login Page</t>
        </is>
      </c>
      <c r="D6" s="27" t="inlineStr">
        <is>
          <t>Form dang nhap, validation, JWT auth, role redirect</t>
        </is>
      </c>
      <c r="E6" s="27" t="inlineStr">
        <is>
          <t>React Hook Form, JWT</t>
        </is>
      </c>
      <c r="F6" s="16" t="inlineStr">
        <is>
          <t>Cao</t>
        </is>
      </c>
      <c r="G6" s="9" t="inlineStr">
        <is>
          <t>Hoàn thành</t>
        </is>
      </c>
      <c r="H6" s="27" t="inlineStr"/>
    </row>
    <row r="7" ht="38" customHeight="1">
      <c r="A7" s="28" t="inlineStr">
        <is>
          <t>Sprint 1</t>
        </is>
      </c>
      <c r="B7" s="29" t="inlineStr">
        <is>
          <t>Tuan 1</t>
        </is>
      </c>
      <c r="C7" s="30" t="inlineStr">
        <is>
          <t>Layout co ban</t>
        </is>
      </c>
      <c r="D7" s="30" t="inlineStr">
        <is>
          <t>Sidebar responsive, Navbar, PrivateRoute</t>
        </is>
      </c>
      <c r="E7" s="30" t="inlineStr">
        <is>
          <t>TailwindCSS, Context</t>
        </is>
      </c>
      <c r="F7" s="31" t="inlineStr">
        <is>
          <t>Cao</t>
        </is>
      </c>
      <c r="G7" s="9" t="inlineStr">
        <is>
          <t>Hoàn thành</t>
        </is>
      </c>
      <c r="H7" s="30" t="inlineStr"/>
    </row>
    <row r="8" ht="38" customHeight="1">
      <c r="A8" s="26" t="inlineStr">
        <is>
          <t>Sprint 1</t>
        </is>
      </c>
      <c r="B8" s="15" t="inlineStr">
        <is>
          <t>Tuan 2</t>
        </is>
      </c>
      <c r="C8" s="27" t="inlineStr">
        <is>
          <t>Dashboard - KPI</t>
        </is>
      </c>
      <c r="D8" s="27" t="inlineStr">
        <is>
          <t>4 card thong ke, ket noi API /stats</t>
        </is>
      </c>
      <c r="E8" s="27" t="inlineStr">
        <is>
          <t>Recharts</t>
        </is>
      </c>
      <c r="F8" s="16" t="inlineStr">
        <is>
          <t>Cao</t>
        </is>
      </c>
      <c r="G8" s="17" t="inlineStr">
        <is>
          <t>Đang làm</t>
        </is>
      </c>
      <c r="H8" s="27" t="inlineStr">
        <is>
          <t>Can API /stats</t>
        </is>
      </c>
    </row>
    <row r="9" ht="38" customHeight="1">
      <c r="A9" s="28" t="inlineStr">
        <is>
          <t>Sprint 1</t>
        </is>
      </c>
      <c r="B9" s="29" t="inlineStr">
        <is>
          <t>Tuan 2</t>
        </is>
      </c>
      <c r="C9" s="30" t="inlineStr">
        <is>
          <t>Dashboard - Charts</t>
        </is>
      </c>
      <c r="D9" s="30" t="inlineStr">
        <is>
          <t>Bieu do cham cong 7 ngay, danh sach NV moi</t>
        </is>
      </c>
      <c r="E9" s="30" t="inlineStr">
        <is>
          <t>Recharts</t>
        </is>
      </c>
      <c r="F9" s="31" t="inlineStr">
        <is>
          <t>Cao</t>
        </is>
      </c>
      <c r="G9" s="17" t="inlineStr">
        <is>
          <t>Đang làm</t>
        </is>
      </c>
      <c r="H9" s="30" t="inlineStr"/>
    </row>
    <row r="10" ht="22" customHeight="1">
      <c r="A10" s="32" t="inlineStr">
        <is>
          <t>Sprint 2</t>
        </is>
      </c>
    </row>
    <row r="11" ht="38" customHeight="1">
      <c r="A11" s="33" t="inlineStr">
        <is>
          <t>Sprint 2</t>
        </is>
      </c>
      <c r="B11" s="15" t="inlineStr">
        <is>
          <t>Tuan 3</t>
        </is>
      </c>
      <c r="C11" s="27" t="inlineStr">
        <is>
          <t>Nhan vien - DS</t>
        </is>
      </c>
      <c r="D11" s="27" t="inlineStr">
        <is>
          <t>Table + filter + search + phan trang</t>
        </is>
      </c>
      <c r="E11" s="27" t="inlineStr">
        <is>
          <t>TanStack Table</t>
        </is>
      </c>
      <c r="F11" s="16" t="inlineStr">
        <is>
          <t>Cao</t>
        </is>
      </c>
      <c r="G11" s="17" t="inlineStr">
        <is>
          <t>Đang làm</t>
        </is>
      </c>
      <c r="H11" s="27" t="inlineStr"/>
    </row>
    <row r="12" ht="38" customHeight="1">
      <c r="A12" s="33" t="inlineStr">
        <is>
          <t>Sprint 2</t>
        </is>
      </c>
      <c r="B12" s="15" t="inlineStr">
        <is>
          <t>Tuan 3</t>
        </is>
      </c>
      <c r="C12" s="27" t="inlineStr">
        <is>
          <t>Nhan vien - Form</t>
        </is>
      </c>
      <c r="D12" s="27" t="inlineStr">
        <is>
          <t>Modal them/sua: validation, dropdown phong ban</t>
        </is>
      </c>
      <c r="E12" s="27" t="inlineStr">
        <is>
          <t>React Hook Form</t>
        </is>
      </c>
      <c r="F12" s="16" t="inlineStr">
        <is>
          <t>Cao</t>
        </is>
      </c>
      <c r="G12" s="17" t="inlineStr">
        <is>
          <t>Đang làm</t>
        </is>
      </c>
      <c r="H12" s="27" t="inlineStr"/>
    </row>
    <row r="13" ht="38" customHeight="1">
      <c r="A13" s="34" t="inlineStr">
        <is>
          <t>Sprint 2</t>
        </is>
      </c>
      <c r="B13" s="29" t="inlineStr">
        <is>
          <t>Tuan 4</t>
        </is>
      </c>
      <c r="C13" s="30" t="inlineStr">
        <is>
          <t>Phong ban</t>
        </is>
      </c>
      <c r="D13" s="30" t="inlineStr">
        <is>
          <t>CRUD phong ban, xem NV theo phong ban</t>
        </is>
      </c>
      <c r="E13" s="30" t="inlineStr">
        <is>
          <t>Modal pattern</t>
        </is>
      </c>
      <c r="F13" s="31" t="inlineStr">
        <is>
          <t>Cao</t>
        </is>
      </c>
      <c r="G13" s="19" t="inlineStr">
        <is>
          <t>Chưa làm</t>
        </is>
      </c>
      <c r="H13" s="30" t="inlineStr"/>
    </row>
    <row r="14" ht="38" customHeight="1">
      <c r="A14" s="33" t="inlineStr">
        <is>
          <t>Sprint 2</t>
        </is>
      </c>
      <c r="B14" s="15" t="inlineStr">
        <is>
          <t>Tuan 4</t>
        </is>
      </c>
      <c r="C14" s="27" t="inlineStr">
        <is>
          <t>Ca lam viec</t>
        </is>
      </c>
      <c r="D14" s="27" t="inlineStr">
        <is>
          <t>CRUD ca, gan ca cho NV, lich tuan</t>
        </is>
      </c>
      <c r="E14" s="27" t="inlineStr">
        <is>
          <t>FullCalendar lite</t>
        </is>
      </c>
      <c r="F14" s="35" t="inlineStr">
        <is>
          <t>Trung binh</t>
        </is>
      </c>
      <c r="G14" s="19" t="inlineStr">
        <is>
          <t>Chưa làm</t>
        </is>
      </c>
      <c r="H14" s="27" t="inlineStr"/>
    </row>
    <row r="15" ht="22" customHeight="1">
      <c r="A15" s="36" t="inlineStr">
        <is>
          <t>Sprint 3</t>
        </is>
      </c>
    </row>
    <row r="16" ht="38" customHeight="1">
      <c r="A16" s="37" t="inlineStr">
        <is>
          <t>Sprint 3</t>
        </is>
      </c>
      <c r="B16" s="29" t="inlineStr">
        <is>
          <t>Tuan 5</t>
        </is>
      </c>
      <c r="C16" s="30" t="inlineStr">
        <is>
          <t>Cham cong</t>
        </is>
      </c>
      <c r="D16" s="30" t="inlineStr">
        <is>
          <t>Calendar view thang, chinh sua thu cong, export</t>
        </is>
      </c>
      <c r="E16" s="30" t="inlineStr">
        <is>
          <t>date-fns</t>
        </is>
      </c>
      <c r="F16" s="31" t="inlineStr">
        <is>
          <t>Cao</t>
        </is>
      </c>
      <c r="G16" s="19" t="inlineStr">
        <is>
          <t>Chưa làm</t>
        </is>
      </c>
      <c r="H16" s="30" t="inlineStr"/>
    </row>
    <row r="17" ht="38" customHeight="1">
      <c r="A17" s="37" t="inlineStr">
        <is>
          <t>Sprint 3</t>
        </is>
      </c>
      <c r="B17" s="29" t="inlineStr">
        <is>
          <t>Tuan 5</t>
        </is>
      </c>
      <c r="C17" s="30" t="inlineStr">
        <is>
          <t>Tang ca</t>
        </is>
      </c>
      <c r="D17" s="30" t="inlineStr">
        <is>
          <t>Danh sach, duyet/tu choi, tong gio tang ca</t>
        </is>
      </c>
      <c r="E17" s="30" t="inlineStr">
        <is>
          <t>React Table</t>
        </is>
      </c>
      <c r="F17" s="38" t="inlineStr">
        <is>
          <t>Trung binh</t>
        </is>
      </c>
      <c r="G17" s="19" t="inlineStr">
        <is>
          <t>Chưa làm</t>
        </is>
      </c>
      <c r="H17" s="30" t="inlineStr"/>
    </row>
    <row r="18" ht="38" customHeight="1">
      <c r="A18" s="39" t="inlineStr">
        <is>
          <t>Sprint 3</t>
        </is>
      </c>
      <c r="B18" s="15" t="inlineStr">
        <is>
          <t>Tuan 6</t>
        </is>
      </c>
      <c r="C18" s="27" t="inlineStr">
        <is>
          <t>Nghi phep</t>
        </is>
      </c>
      <c r="D18" s="27" t="inlineStr">
        <is>
          <t>Workflow dang ky-duyet, phan loai loai nghi</t>
        </is>
      </c>
      <c r="E18" s="27" t="inlineStr">
        <is>
          <t>React Query</t>
        </is>
      </c>
      <c r="F18" s="16" t="inlineStr">
        <is>
          <t>Cao</t>
        </is>
      </c>
      <c r="G18" s="19" t="inlineStr">
        <is>
          <t>Chưa làm</t>
        </is>
      </c>
      <c r="H18" s="27" t="inlineStr"/>
    </row>
    <row r="19" ht="38" customHeight="1">
      <c r="A19" s="37" t="inlineStr">
        <is>
          <t>Sprint 3</t>
        </is>
      </c>
      <c r="B19" s="29" t="inlineStr">
        <is>
          <t>Tuan 6</t>
        </is>
      </c>
      <c r="C19" s="30" t="inlineStr">
        <is>
          <t>Ngay le</t>
        </is>
      </c>
      <c r="D19" s="30" t="inlineStr">
        <is>
          <t>CRUD ngay le trong nam, sync voi calendar</t>
        </is>
      </c>
      <c r="E19" s="30" t="inlineStr">
        <is>
          <t>date-fns</t>
        </is>
      </c>
      <c r="F19" s="40" t="inlineStr">
        <is>
          <t>Thap</t>
        </is>
      </c>
      <c r="G19" s="19" t="inlineStr">
        <is>
          <t>Chưa làm</t>
        </is>
      </c>
      <c r="H19" s="30" t="inlineStr"/>
    </row>
    <row r="20" ht="22" customHeight="1">
      <c r="A20" s="41" t="inlineStr">
        <is>
          <t>Sprint 4</t>
        </is>
      </c>
    </row>
    <row r="21" ht="38" customHeight="1">
      <c r="A21" s="42" t="inlineStr">
        <is>
          <t>Sprint 4</t>
        </is>
      </c>
      <c r="B21" s="15" t="inlineStr">
        <is>
          <t>Tuan 7</t>
        </is>
      </c>
      <c r="C21" s="27" t="inlineStr">
        <is>
          <t>Bang luong</t>
        </is>
      </c>
      <c r="D21" s="27" t="inlineStr">
        <is>
          <t>Tinh luong tu dong, bang chi tiet, export PDF/Excel</t>
        </is>
      </c>
      <c r="E21" s="27" t="inlineStr">
        <is>
          <t>jsPDF, SheetJS</t>
        </is>
      </c>
      <c r="F21" s="16" t="inlineStr">
        <is>
          <t>Cao</t>
        </is>
      </c>
      <c r="G21" s="19" t="inlineStr">
        <is>
          <t>Chưa làm</t>
        </is>
      </c>
      <c r="H21" s="27" t="inlineStr"/>
    </row>
    <row r="22" ht="38" customHeight="1">
      <c r="A22" s="42" t="inlineStr">
        <is>
          <t>Sprint 4</t>
        </is>
      </c>
      <c r="B22" s="15" t="inlineStr">
        <is>
          <t>Tuan 7</t>
        </is>
      </c>
      <c r="C22" s="27" t="inlineStr">
        <is>
          <t>Tai khoan</t>
        </is>
      </c>
      <c r="D22" s="27" t="inlineStr">
        <is>
          <t>CRUD user, phan quyen, reset password</t>
        </is>
      </c>
      <c r="E22" s="27" t="inlineStr">
        <is>
          <t>RBAC</t>
        </is>
      </c>
      <c r="F22" s="35" t="inlineStr">
        <is>
          <t>Trung binh</t>
        </is>
      </c>
      <c r="G22" s="19" t="inlineStr">
        <is>
          <t>Chưa làm</t>
        </is>
      </c>
      <c r="H22" s="27" t="inlineStr"/>
    </row>
    <row r="23" ht="38" customHeight="1">
      <c r="A23" s="43" t="inlineStr">
        <is>
          <t>Sprint 4</t>
        </is>
      </c>
      <c r="B23" s="29" t="inlineStr">
        <is>
          <t>Tuan 7</t>
        </is>
      </c>
      <c r="C23" s="30" t="inlineStr">
        <is>
          <t>Nhat ky he thong</t>
        </is>
      </c>
      <c r="D23" s="30" t="inlineStr">
        <is>
          <t>Audit log, filter theo user/hanh dong/ngay</t>
        </is>
      </c>
      <c r="E23" s="30" t="inlineStr">
        <is>
          <t>Virtual scroll</t>
        </is>
      </c>
      <c r="F23" s="40" t="inlineStr">
        <is>
          <t>Thap</t>
        </is>
      </c>
      <c r="G23" s="19" t="inlineStr">
        <is>
          <t>Chưa làm</t>
        </is>
      </c>
      <c r="H23" s="30" t="inlineStr"/>
    </row>
    <row r="24" ht="38" customHeight="1">
      <c r="A24" s="42" t="inlineStr">
        <is>
          <t>Sprint 4</t>
        </is>
      </c>
      <c r="B24" s="15" t="inlineStr">
        <is>
          <t>Tuan 8</t>
        </is>
      </c>
      <c r="C24" s="27" t="inlineStr">
        <is>
          <t>Employee Home</t>
        </is>
      </c>
      <c r="D24" s="27" t="inlineStr">
        <is>
          <t>Trang NV: bang cong, dang ky nghi, phieu luong</t>
        </is>
      </c>
      <c r="E24" s="27" t="inlineStr">
        <is>
          <t>React Query</t>
        </is>
      </c>
      <c r="F24" s="16" t="inlineStr">
        <is>
          <t>Cao</t>
        </is>
      </c>
      <c r="G24" s="17" t="inlineStr">
        <is>
          <t>Đang làm</t>
        </is>
      </c>
      <c r="H24" s="27" t="inlineStr"/>
    </row>
    <row r="25" ht="38" customHeight="1">
      <c r="A25" s="43" t="inlineStr">
        <is>
          <t>Sprint 4</t>
        </is>
      </c>
      <c r="B25" s="29" t="inlineStr">
        <is>
          <t>Tuan 8</t>
        </is>
      </c>
      <c r="C25" s="30" t="inlineStr">
        <is>
          <t>Kiem thu &amp; Deploy</t>
        </is>
      </c>
      <c r="D25" s="30" t="inlineStr">
        <is>
          <t>E2E test, fix bug, toi uu performance, deploy Vercel</t>
        </is>
      </c>
      <c r="E25" s="30" t="inlineStr">
        <is>
          <t>Cypress, Lighthouse</t>
        </is>
      </c>
      <c r="F25" s="31" t="inlineStr">
        <is>
          <t>Cao</t>
        </is>
      </c>
      <c r="G25" s="19" t="inlineStr">
        <is>
          <t>Chưa làm</t>
        </is>
      </c>
      <c r="H25" s="30" t="inlineStr"/>
    </row>
  </sheetData>
  <mergeCells count="6">
    <mergeCell ref="A4:H4"/>
    <mergeCell ref="A15:H15"/>
    <mergeCell ref="A20:H20"/>
    <mergeCell ref="A2:H2"/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4" customWidth="1" min="4" max="4"/>
    <col width="16" customWidth="1" min="5" max="5"/>
    <col width="36" customWidth="1" min="6" max="6"/>
  </cols>
  <sheetData>
    <row r="1" ht="36" customHeight="1">
      <c r="A1" s="1" t="inlineStr">
        <is>
          <t>TIEN DO TONG HOP - PROGRESS OVERVIEW</t>
        </is>
      </c>
    </row>
    <row r="2">
      <c r="A2" s="2" t="inlineStr">
        <is>
          <t>Cap nhat: 05/06/2026  |  Tong giao dien: 13  |  Hoan thanh: 2  |  Dang lam: 4  |  Chua lam: 7</t>
        </is>
      </c>
    </row>
    <row r="3" ht="28" customHeight="1">
      <c r="A3" s="3" t="inlineStr">
        <is>
          <t>Module</t>
        </is>
      </c>
      <c r="B3" s="3" t="inlineStr">
        <is>
          <t>Tong Task</t>
        </is>
      </c>
      <c r="C3" s="3" t="inlineStr">
        <is>
          <t>Hoan thanh</t>
        </is>
      </c>
      <c r="D3" s="3" t="inlineStr">
        <is>
          <t>% Tien do</t>
        </is>
      </c>
      <c r="E3" s="3" t="inlineStr">
        <is>
          <t>Trang thai</t>
        </is>
      </c>
      <c r="F3" s="3" t="inlineStr">
        <is>
          <t>Ghi chu</t>
        </is>
      </c>
    </row>
    <row r="4" ht="26" customHeight="1">
      <c r="A4" s="44" t="inlineStr">
        <is>
          <t>Cau truc &amp; Routing</t>
        </is>
      </c>
      <c r="B4" s="15" t="n">
        <v>5</v>
      </c>
      <c r="C4" s="15" t="n">
        <v>5</v>
      </c>
      <c r="D4" s="45">
        <f>IF(B4=0,0,C4/B4)</f>
        <v/>
      </c>
      <c r="E4" s="9" t="inlineStr">
        <is>
          <t>Hoàn thành</t>
        </is>
      </c>
      <c r="F4" s="18" t="inlineStr">
        <is>
          <t>Base project, routing, auth guard</t>
        </is>
      </c>
    </row>
    <row r="5" ht="26" customHeight="1">
      <c r="A5" s="46" t="inlineStr">
        <is>
          <t>Sidebar &amp; Navbar</t>
        </is>
      </c>
      <c r="B5" s="29" t="n">
        <v>4</v>
      </c>
      <c r="C5" s="29" t="n">
        <v>4</v>
      </c>
      <c r="D5" s="45">
        <f>IF(B5=0,0,C5/B5)</f>
        <v/>
      </c>
      <c r="E5" s="9" t="inlineStr">
        <is>
          <t>Hoàn thành</t>
        </is>
      </c>
      <c r="F5" s="47" t="inlineStr">
        <is>
          <t>Glassmorphism, responsive, collapse</t>
        </is>
      </c>
    </row>
    <row r="6" ht="26" customHeight="1">
      <c r="A6" s="44" t="inlineStr">
        <is>
          <t>Login Page</t>
        </is>
      </c>
      <c r="B6" s="15" t="n">
        <v>3</v>
      </c>
      <c r="C6" s="15" t="n">
        <v>3</v>
      </c>
      <c r="D6" s="45">
        <f>IF(B6=0,0,C6/B6)</f>
        <v/>
      </c>
      <c r="E6" s="9" t="inlineStr">
        <is>
          <t>Hoàn thành</t>
        </is>
      </c>
      <c r="F6" s="18" t="inlineStr">
        <is>
          <t>Form, validation, JWT</t>
        </is>
      </c>
    </row>
    <row r="7" ht="26" customHeight="1">
      <c r="A7" s="46" t="inlineStr">
        <is>
          <t>Dashboard</t>
        </is>
      </c>
      <c r="B7" s="29" t="n">
        <v>6</v>
      </c>
      <c r="C7" s="29" t="n">
        <v>3</v>
      </c>
      <c r="D7" s="48">
        <f>IF(B7=0,0,C7/B7)</f>
        <v/>
      </c>
      <c r="E7" s="17" t="inlineStr">
        <is>
          <t>Đang làm</t>
        </is>
      </c>
      <c r="F7" s="47" t="inlineStr">
        <is>
          <t>KPI cards dang ket noi API</t>
        </is>
      </c>
    </row>
    <row r="8" ht="26" customHeight="1">
      <c r="A8" s="44" t="inlineStr">
        <is>
          <t>Nhan vien</t>
        </is>
      </c>
      <c r="B8" s="15" t="n">
        <v>8</v>
      </c>
      <c r="C8" s="15" t="n">
        <v>5</v>
      </c>
      <c r="D8" s="48">
        <f>IF(B8=0,0,C8/B8)</f>
        <v/>
      </c>
      <c r="E8" s="17" t="inlineStr">
        <is>
          <t>Đang làm</t>
        </is>
      </c>
      <c r="F8" s="18" t="inlineStr">
        <is>
          <t>Danh sach ok, form dang hoan thien</t>
        </is>
      </c>
    </row>
    <row r="9" ht="26" customHeight="1">
      <c r="A9" s="46" t="inlineStr">
        <is>
          <t>Employee Home</t>
        </is>
      </c>
      <c r="B9" s="29" t="n">
        <v>5</v>
      </c>
      <c r="C9" s="29" t="n">
        <v>2</v>
      </c>
      <c r="D9" s="48">
        <f>IF(B9=0,0,C9/B9)</f>
        <v/>
      </c>
      <c r="E9" s="17" t="inlineStr">
        <is>
          <t>Đang làm</t>
        </is>
      </c>
      <c r="F9" s="47" t="inlineStr">
        <is>
          <t>UI co ban, chua ket noi day du</t>
        </is>
      </c>
    </row>
    <row r="10" ht="26" customHeight="1">
      <c r="A10" s="44" t="inlineStr">
        <is>
          <t>Phong ban</t>
        </is>
      </c>
      <c r="B10" s="15" t="n">
        <v>4</v>
      </c>
      <c r="C10" s="15" t="n">
        <v>0</v>
      </c>
      <c r="D10" s="49">
        <f>IF(B10=0,0,C10/B10)</f>
        <v/>
      </c>
      <c r="E10" s="19" t="inlineStr">
        <is>
          <t>Chưa làm</t>
        </is>
      </c>
      <c r="F10" s="18" t="inlineStr">
        <is>
          <t>Sprint 2 - Tuan 3</t>
        </is>
      </c>
    </row>
    <row r="11" ht="26" customHeight="1">
      <c r="A11" s="46" t="inlineStr">
        <is>
          <t>Ca lam viec</t>
        </is>
      </c>
      <c r="B11" s="29" t="n">
        <v>4</v>
      </c>
      <c r="C11" s="29" t="n">
        <v>0</v>
      </c>
      <c r="D11" s="50">
        <f>IF(B11=0,0,C11/B11)</f>
        <v/>
      </c>
      <c r="E11" s="19" t="inlineStr">
        <is>
          <t>Chưa làm</t>
        </is>
      </c>
      <c r="F11" s="47" t="inlineStr">
        <is>
          <t>Sprint 2 - Tuan 4</t>
        </is>
      </c>
    </row>
    <row r="12" ht="26" customHeight="1">
      <c r="A12" s="44" t="inlineStr">
        <is>
          <t>Cham cong</t>
        </is>
      </c>
      <c r="B12" s="15" t="n">
        <v>6</v>
      </c>
      <c r="C12" s="15" t="n">
        <v>0</v>
      </c>
      <c r="D12" s="49">
        <f>IF(B12=0,0,C12/B12)</f>
        <v/>
      </c>
      <c r="E12" s="19" t="inlineStr">
        <is>
          <t>Chưa làm</t>
        </is>
      </c>
      <c r="F12" s="18" t="inlineStr">
        <is>
          <t>Sprint 3 - Tuan 5</t>
        </is>
      </c>
    </row>
    <row r="13" ht="26" customHeight="1">
      <c r="A13" s="46" t="inlineStr">
        <is>
          <t>Tang ca</t>
        </is>
      </c>
      <c r="B13" s="29" t="n">
        <v>4</v>
      </c>
      <c r="C13" s="29" t="n">
        <v>0</v>
      </c>
      <c r="D13" s="50">
        <f>IF(B13=0,0,C13/B13)</f>
        <v/>
      </c>
      <c r="E13" s="19" t="inlineStr">
        <is>
          <t>Chưa làm</t>
        </is>
      </c>
      <c r="F13" s="47" t="inlineStr">
        <is>
          <t>Sprint 3 - Tuan 5</t>
        </is>
      </c>
    </row>
    <row r="14" ht="26" customHeight="1">
      <c r="A14" s="44" t="inlineStr">
        <is>
          <t>Nghi phep</t>
        </is>
      </c>
      <c r="B14" s="15" t="n">
        <v>6</v>
      </c>
      <c r="C14" s="15" t="n">
        <v>0</v>
      </c>
      <c r="D14" s="49">
        <f>IF(B14=0,0,C14/B14)</f>
        <v/>
      </c>
      <c r="E14" s="19" t="inlineStr">
        <is>
          <t>Chưa làm</t>
        </is>
      </c>
      <c r="F14" s="18" t="inlineStr">
        <is>
          <t>Sprint 3 - Tuan 6</t>
        </is>
      </c>
    </row>
    <row r="15" ht="26" customHeight="1">
      <c r="A15" s="46" t="inlineStr">
        <is>
          <t>Ngay le</t>
        </is>
      </c>
      <c r="B15" s="29" t="n">
        <v>3</v>
      </c>
      <c r="C15" s="29" t="n">
        <v>0</v>
      </c>
      <c r="D15" s="50">
        <f>IF(B15=0,0,C15/B15)</f>
        <v/>
      </c>
      <c r="E15" s="19" t="inlineStr">
        <is>
          <t>Chưa làm</t>
        </is>
      </c>
      <c r="F15" s="47" t="inlineStr">
        <is>
          <t>Sprint 3 - Tuan 6</t>
        </is>
      </c>
    </row>
    <row r="16" ht="26" customHeight="1">
      <c r="A16" s="44" t="inlineStr">
        <is>
          <t>Bang luong</t>
        </is>
      </c>
      <c r="B16" s="15" t="n">
        <v>7</v>
      </c>
      <c r="C16" s="15" t="n">
        <v>0</v>
      </c>
      <c r="D16" s="49">
        <f>IF(B16=0,0,C16/B16)</f>
        <v/>
      </c>
      <c r="E16" s="19" t="inlineStr">
        <is>
          <t>Chưa làm</t>
        </is>
      </c>
      <c r="F16" s="18" t="inlineStr">
        <is>
          <t>Sprint 4 - Tuan 7</t>
        </is>
      </c>
    </row>
    <row r="17" ht="26" customHeight="1">
      <c r="A17" s="46" t="inlineStr">
        <is>
          <t>Tai khoan</t>
        </is>
      </c>
      <c r="B17" s="29" t="n">
        <v>4</v>
      </c>
      <c r="C17" s="29" t="n">
        <v>0</v>
      </c>
      <c r="D17" s="50">
        <f>IF(B17=0,0,C17/B17)</f>
        <v/>
      </c>
      <c r="E17" s="19" t="inlineStr">
        <is>
          <t>Chưa làm</t>
        </is>
      </c>
      <c r="F17" s="47" t="inlineStr">
        <is>
          <t>Sprint 4 - Tuan 7</t>
        </is>
      </c>
    </row>
    <row r="18" ht="26" customHeight="1">
      <c r="A18" s="44" t="inlineStr">
        <is>
          <t>Nhat ky he thong</t>
        </is>
      </c>
      <c r="B18" s="15" t="n">
        <v>3</v>
      </c>
      <c r="C18" s="15" t="n">
        <v>0</v>
      </c>
      <c r="D18" s="49">
        <f>IF(B18=0,0,C18/B18)</f>
        <v/>
      </c>
      <c r="E18" s="19" t="inlineStr">
        <is>
          <t>Chưa làm</t>
        </is>
      </c>
      <c r="F18" s="18" t="inlineStr">
        <is>
          <t>Sprint 4 - Tuan 7</t>
        </is>
      </c>
    </row>
    <row r="20" ht="28" customHeight="1">
      <c r="A20" s="3" t="inlineStr">
        <is>
          <t>TONG CONG</t>
        </is>
      </c>
      <c r="B20" s="51">
        <f>SUM(B4:B18)</f>
        <v/>
      </c>
      <c r="C20" s="51">
        <f>SUM(C4:C18)</f>
        <v/>
      </c>
      <c r="D20" s="52">
        <f>IF(B20=0,0,C20/B20)</f>
        <v/>
      </c>
      <c r="E20" s="24" t="n"/>
      <c r="F20" s="24" t="n"/>
    </row>
    <row r="22">
      <c r="A22" s="3" t="inlineStr">
        <is>
          <t>CHU THICH TRANG THAI</t>
        </is>
      </c>
    </row>
    <row r="23" ht="22" customHeight="1">
      <c r="A23" s="9" t="inlineStr">
        <is>
          <t>Hoàn thành</t>
        </is>
      </c>
      <c r="B23" s="53">
        <f> 100% tasks xong</f>
        <v/>
      </c>
    </row>
    <row r="24" ht="22" customHeight="1">
      <c r="A24" s="17" t="inlineStr">
        <is>
          <t>Đang làm</t>
        </is>
      </c>
      <c r="B24" s="54">
        <f> Dang trong tien trinh</f>
        <v/>
      </c>
    </row>
    <row r="25" ht="22" customHeight="1">
      <c r="A25" s="19" t="inlineStr">
        <is>
          <t>Chưa làm</t>
        </is>
      </c>
      <c r="B25" s="55">
        <f> Chua bat dau / chua den sprint</f>
        <v/>
      </c>
    </row>
  </sheetData>
  <mergeCells count="6">
    <mergeCell ref="A2:F2"/>
    <mergeCell ref="B24:F24"/>
    <mergeCell ref="A1:F1"/>
    <mergeCell ref="B25:F25"/>
    <mergeCell ref="A22:F22"/>
    <mergeCell ref="B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2026-06-05T04:15:41Z</dcterms:created>
  <dcterms:modified xsi:type="dcterms:W3CDTF">2026-06-05T04:15:41Z</dcterms:modified>
</cp:coreProperties>
</file>